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cc5502de6ce9b62/Documents/CP212/"/>
    </mc:Choice>
  </mc:AlternateContent>
  <xr:revisionPtr revIDLastSave="331" documentId="8_{3E1961B6-1C09-4C91-9A20-2D2A2945D3CB}" xr6:coauthVersionLast="47" xr6:coauthVersionMax="47" xr10:uidLastSave="{119ACE01-916D-41FB-8884-BF7FBE45BFEE}"/>
  <bookViews>
    <workbookView xWindow="-120" yWindow="-120" windowWidth="29040" windowHeight="15840" activeTab="1" xr2:uid="{BC52E2D3-0CFF-4B5B-9BB8-5C3577D38FF8}"/>
  </bookViews>
  <sheets>
    <sheet name="PMT" sheetId="1" r:id="rId1"/>
    <sheet name="Macr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2" l="1"/>
  <c r="C15" i="2"/>
  <c r="C16" i="2"/>
  <c r="C17" i="2"/>
  <c r="C18" i="2"/>
  <c r="C19" i="2"/>
  <c r="C20" i="2"/>
  <c r="C21" i="2"/>
  <c r="C22" i="2"/>
  <c r="C13" i="2"/>
  <c r="C12" i="2"/>
  <c r="A14" i="2"/>
  <c r="A15" i="2"/>
  <c r="A16" i="2"/>
  <c r="A17" i="2"/>
  <c r="A18" i="2"/>
  <c r="A19" i="2"/>
  <c r="A20" i="2"/>
  <c r="A21" i="2"/>
  <c r="A22" i="2"/>
  <c r="A13" i="2"/>
  <c r="A12" i="2"/>
  <c r="C20" i="1"/>
  <c r="C21" i="1"/>
  <c r="C22" i="1"/>
  <c r="C23" i="1"/>
  <c r="C24" i="1"/>
  <c r="C25" i="1"/>
  <c r="C26" i="1"/>
  <c r="C27" i="1"/>
  <c r="C28" i="1"/>
  <c r="C29" i="1"/>
  <c r="C19" i="1"/>
  <c r="B10" i="1"/>
  <c r="A20" i="1"/>
  <c r="A21" i="1"/>
  <c r="A22" i="1"/>
  <c r="A23" i="1"/>
  <c r="A24" i="1"/>
  <c r="A25" i="1"/>
  <c r="A26" i="1"/>
  <c r="A27" i="1"/>
  <c r="A28" i="1"/>
  <c r="A29" i="1"/>
  <c r="A19" i="1"/>
  <c r="B14" i="1"/>
  <c r="B16" i="1" s="1"/>
</calcChain>
</file>

<file path=xl/sharedStrings.xml><?xml version="1.0" encoding="utf-8"?>
<sst xmlns="http://schemas.openxmlformats.org/spreadsheetml/2006/main" count="34" uniqueCount="21">
  <si>
    <t>First name:</t>
  </si>
  <si>
    <t>Last name:</t>
  </si>
  <si>
    <t>ID:</t>
  </si>
  <si>
    <t>Email:</t>
  </si>
  <si>
    <t>An</t>
  </si>
  <si>
    <t>Pham</t>
  </si>
  <si>
    <t>pham8490@mylaurier.ca</t>
  </si>
  <si>
    <t>Annual Rate =</t>
  </si>
  <si>
    <t>pv (loan) =</t>
  </si>
  <si>
    <t>Year =</t>
  </si>
  <si>
    <t>Monthly Payment =</t>
  </si>
  <si>
    <t>Method 1: Using PMT function to find Monthly Payment</t>
  </si>
  <si>
    <t>Method 2: Create formula from Equation to find Monthly Payment</t>
  </si>
  <si>
    <t>rate (per month) =</t>
  </si>
  <si>
    <t>nper (months) =</t>
  </si>
  <si>
    <t>Rate per month</t>
  </si>
  <si>
    <t>Annual Rate</t>
  </si>
  <si>
    <t>Monthly Payments</t>
  </si>
  <si>
    <t>Given Condition:</t>
  </si>
  <si>
    <t xml:space="preserve">Year = </t>
  </si>
  <si>
    <t xml:space="preserve">nper (month)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</si>
</sst>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6" formatCode="&quot;$&quot;#,##0.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166" fontId="0" fillId="0" borderId="7" xfId="0" applyNumberFormat="1" applyBorder="1" applyAlignment="1">
      <alignment horizontal="center"/>
    </xf>
    <xf numFmtId="9" fontId="0" fillId="0" borderId="5" xfId="0" applyNumberFormat="1" applyBorder="1" applyAlignment="1">
      <alignment horizontal="center"/>
    </xf>
    <xf numFmtId="8" fontId="0" fillId="0" borderId="7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The effect of Annual Interest on the</a:t>
            </a:r>
            <a:r>
              <a:rPr lang="en-CA" baseline="0"/>
              <a:t> Monthly Payment 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PMT!$B$19:$B$29</c:f>
              <c:numCache>
                <c:formatCode>0.00%</c:formatCode>
                <c:ptCount val="11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  <c:pt idx="7">
                  <c:v>5.5E-2</c:v>
                </c:pt>
                <c:pt idx="8">
                  <c:v>0.06</c:v>
                </c:pt>
                <c:pt idx="9">
                  <c:v>6.5000000000000002E-2</c:v>
                </c:pt>
                <c:pt idx="10">
                  <c:v>7.0000000000000007E-2</c:v>
                </c:pt>
              </c:numCache>
            </c:numRef>
          </c:xVal>
          <c:yVal>
            <c:numRef>
              <c:f>PMT!$C$19:$C$29</c:f>
              <c:numCache>
                <c:formatCode>"$"#,##0.00</c:formatCode>
                <c:ptCount val="11"/>
                <c:pt idx="0">
                  <c:v>525.83280159733135</c:v>
                </c:pt>
                <c:pt idx="1">
                  <c:v>532.4208481644082</c:v>
                </c:pt>
                <c:pt idx="2">
                  <c:v>539.06071992189413</c:v>
                </c:pt>
                <c:pt idx="3">
                  <c:v>545.752349107692</c:v>
                </c:pt>
                <c:pt idx="4">
                  <c:v>552.49566165799058</c:v>
                </c:pt>
                <c:pt idx="5">
                  <c:v>559.29057724549943</c:v>
                </c:pt>
                <c:pt idx="6">
                  <c:v>566.13700932032805</c:v>
                </c:pt>
                <c:pt idx="7">
                  <c:v>573.03486515346731</c:v>
                </c:pt>
                <c:pt idx="8">
                  <c:v>579.98404588283745</c:v>
                </c:pt>
                <c:pt idx="9">
                  <c:v>586.9844465618562</c:v>
                </c:pt>
                <c:pt idx="10">
                  <c:v>594.03595621048612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7B-4552-9D4E-534F16743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8884240"/>
        <c:axId val="1328884720"/>
      </c:scatterChart>
      <c:valAx>
        <c:axId val="1328884240"/>
        <c:scaling>
          <c:orientation val="minMax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Annual</a:t>
                </a:r>
                <a:r>
                  <a:rPr lang="en-CA" baseline="0"/>
                  <a:t> Interest Rate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884720"/>
        <c:crosses val="autoZero"/>
        <c:crossBetween val="midCat"/>
      </c:valAx>
      <c:valAx>
        <c:axId val="132888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Monthly Payment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88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The</a:t>
            </a:r>
            <a:r>
              <a:rPr lang="en-CA" baseline="0"/>
              <a:t> effect of Interest Rate on Monthly Payment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Macro!$B$12:$B$22</c:f>
              <c:numCache>
                <c:formatCode>0.00%</c:formatCode>
                <c:ptCount val="11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  <c:pt idx="7">
                  <c:v>5.5E-2</c:v>
                </c:pt>
                <c:pt idx="8">
                  <c:v>0.06</c:v>
                </c:pt>
                <c:pt idx="9">
                  <c:v>6.5000000000000002E-2</c:v>
                </c:pt>
                <c:pt idx="10">
                  <c:v>7.0000000000000007E-2</c:v>
                </c:pt>
              </c:numCache>
            </c:numRef>
          </c:xVal>
          <c:yVal>
            <c:numRef>
              <c:f>Macro!$C$12:$C$22</c:f>
              <c:numCache>
                <c:formatCode>"$"#,##0.00</c:formatCode>
                <c:ptCount val="11"/>
                <c:pt idx="0">
                  <c:v>525.83280159733135</c:v>
                </c:pt>
                <c:pt idx="1">
                  <c:v>532.4208481644082</c:v>
                </c:pt>
                <c:pt idx="2">
                  <c:v>539.06071992189413</c:v>
                </c:pt>
                <c:pt idx="3">
                  <c:v>545.752349107692</c:v>
                </c:pt>
                <c:pt idx="4">
                  <c:v>552.49566165799058</c:v>
                </c:pt>
                <c:pt idx="5">
                  <c:v>559.29057724549943</c:v>
                </c:pt>
                <c:pt idx="6">
                  <c:v>566.13700932032805</c:v>
                </c:pt>
                <c:pt idx="7">
                  <c:v>573.03486515346731</c:v>
                </c:pt>
                <c:pt idx="8">
                  <c:v>579.98404588283745</c:v>
                </c:pt>
                <c:pt idx="9">
                  <c:v>586.9844465618562</c:v>
                </c:pt>
                <c:pt idx="10">
                  <c:v>594.03595621048612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4D-4E45-B2A7-EFE608D0E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40368"/>
        <c:axId val="771970960"/>
      </c:scatterChart>
      <c:valAx>
        <c:axId val="1320840368"/>
        <c:scaling>
          <c:orientation val="minMax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Annual</a:t>
                </a:r>
                <a:r>
                  <a:rPr lang="en-CA" baseline="0"/>
                  <a:t> Interest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70960"/>
        <c:crosses val="autoZero"/>
        <c:crossBetween val="midCat"/>
      </c:valAx>
      <c:valAx>
        <c:axId val="7719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Monthly</a:t>
                </a:r>
                <a:r>
                  <a:rPr lang="en-CA" baseline="0"/>
                  <a:t> Payment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840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19049</xdr:colOff>
      <xdr:row>14</xdr:row>
      <xdr:rowOff>23812</xdr:rowOff>
    </xdr:from>
    <xdr:to>
      <xdr:col>12</xdr:col>
      <xdr:colOff>371474</xdr:colOff>
      <xdr:row>28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C5DC03-87F4-CA31-2AE7-53620BA4B3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119062</xdr:rowOff>
    </xdr:from>
    <xdr:to>
      <xdr:col>11</xdr:col>
      <xdr:colOff>304800</xdr:colOff>
      <xdr:row>22</xdr:row>
      <xdr:rowOff>4762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E0D8B1-1A5B-85DE-E27E-64DC726792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238124</xdr:colOff>
          <xdr:row>4</xdr:row>
          <xdr:rowOff>95250</xdr:rowOff>
        </xdr:from>
        <xdr:to>
          <xdr:col>6</xdr:col>
          <xdr:colOff>276225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ptos Narrow"/>
                </a:rPr>
                <a:t>Calculate Monthly Payment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pham8490@mylaurier.c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ham8490@mylaurier.ca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657D1-F7D3-4701-9DCD-9B2BC1622E0F}">
  <sheetPr codeName="Sheet1"/>
  <dimension ref="A1:C29"/>
  <sheetViews>
    <sheetView workbookViewId="0">
      <selection activeCell="B36" sqref="B36"/>
    </sheetView>
  </sheetViews>
  <sheetFormatPr defaultRowHeight="15" x14ac:dyDescent="0.25"/>
  <cols>
    <col min="1" max="1" width="14.85546875" customWidth="1"/>
    <col min="2" max="2" width="23.42578125" bestFit="1" customWidth="1"/>
    <col min="3" max="3" width="17.85546875" bestFit="1" customWidth="1"/>
  </cols>
  <sheetData>
    <row r="1" spans="1:2" x14ac:dyDescent="0.25">
      <c r="A1" s="2" t="s">
        <v>0</v>
      </c>
      <c r="B1" s="5" t="s">
        <v>4</v>
      </c>
    </row>
    <row r="2" spans="1:2" x14ac:dyDescent="0.25">
      <c r="A2" s="3" t="s">
        <v>1</v>
      </c>
      <c r="B2" s="6" t="s">
        <v>5</v>
      </c>
    </row>
    <row r="3" spans="1:2" x14ac:dyDescent="0.25">
      <c r="A3" s="3" t="s">
        <v>2</v>
      </c>
      <c r="B3" s="6">
        <v>190548490</v>
      </c>
    </row>
    <row r="4" spans="1:2" x14ac:dyDescent="0.25">
      <c r="A4" s="4" t="s">
        <v>3</v>
      </c>
      <c r="B4" s="7" t="s">
        <v>6</v>
      </c>
    </row>
    <row r="6" spans="1:2" x14ac:dyDescent="0.25">
      <c r="A6" s="1" t="s">
        <v>11</v>
      </c>
    </row>
    <row r="7" spans="1:2" x14ac:dyDescent="0.25">
      <c r="A7" s="2" t="s">
        <v>8</v>
      </c>
      <c r="B7" s="10">
        <v>30000</v>
      </c>
    </row>
    <row r="8" spans="1:2" x14ac:dyDescent="0.25">
      <c r="A8" s="3" t="s">
        <v>7</v>
      </c>
      <c r="B8" s="13">
        <v>7.0000000000000007E-2</v>
      </c>
    </row>
    <row r="9" spans="1:2" x14ac:dyDescent="0.25">
      <c r="A9" s="3" t="s">
        <v>9</v>
      </c>
      <c r="B9" s="6">
        <v>5</v>
      </c>
    </row>
    <row r="10" spans="1:2" x14ac:dyDescent="0.25">
      <c r="A10" s="4" t="s">
        <v>10</v>
      </c>
      <c r="B10" s="14">
        <f>ABS(PMT(B8/12,B9*12,B7,0,0))</f>
        <v>594.03595621048612</v>
      </c>
    </row>
    <row r="12" spans="1:2" x14ac:dyDescent="0.25">
      <c r="A12" s="1" t="s">
        <v>12</v>
      </c>
    </row>
    <row r="13" spans="1:2" x14ac:dyDescent="0.25">
      <c r="A13" s="2" t="s">
        <v>8</v>
      </c>
      <c r="B13" s="10">
        <v>30000</v>
      </c>
    </row>
    <row r="14" spans="1:2" x14ac:dyDescent="0.25">
      <c r="A14" s="3" t="s">
        <v>13</v>
      </c>
      <c r="B14" s="11">
        <f>0.07/12</f>
        <v>5.8333333333333336E-3</v>
      </c>
    </row>
    <row r="15" spans="1:2" x14ac:dyDescent="0.25">
      <c r="A15" s="3" t="s">
        <v>14</v>
      </c>
      <c r="B15" s="6">
        <v>60</v>
      </c>
    </row>
    <row r="16" spans="1:2" x14ac:dyDescent="0.25">
      <c r="A16" s="4" t="s">
        <v>10</v>
      </c>
      <c r="B16" s="12">
        <f>(B14*B13)/(1-(1+B14)^(-(60)))</f>
        <v>594.0359562104843</v>
      </c>
    </row>
    <row r="18" spans="1:3" x14ac:dyDescent="0.25">
      <c r="A18" s="1" t="s">
        <v>15</v>
      </c>
      <c r="B18" s="1" t="s">
        <v>16</v>
      </c>
      <c r="C18" s="1" t="s">
        <v>17</v>
      </c>
    </row>
    <row r="19" spans="1:3" x14ac:dyDescent="0.25">
      <c r="A19" s="9">
        <f>B19/12</f>
        <v>1.6666666666666668E-3</v>
      </c>
      <c r="B19" s="9">
        <v>0.02</v>
      </c>
      <c r="C19" s="8">
        <f>ABS(PMT(A19,$B$9*12,$B$7))</f>
        <v>525.83280159733135</v>
      </c>
    </row>
    <row r="20" spans="1:3" x14ac:dyDescent="0.25">
      <c r="A20" s="9">
        <f t="shared" ref="A20:A29" si="0">B20/12</f>
        <v>2.0833333333333333E-3</v>
      </c>
      <c r="B20" s="9">
        <v>2.5000000000000001E-2</v>
      </c>
      <c r="C20" s="8">
        <f t="shared" ref="C20:C29" si="1">ABS(PMT(A20,$B$9*12,$B$7))</f>
        <v>532.4208481644082</v>
      </c>
    </row>
    <row r="21" spans="1:3" x14ac:dyDescent="0.25">
      <c r="A21" s="9">
        <f t="shared" si="0"/>
        <v>2.5000000000000001E-3</v>
      </c>
      <c r="B21" s="9">
        <v>0.03</v>
      </c>
      <c r="C21" s="8">
        <f t="shared" si="1"/>
        <v>539.06071992189413</v>
      </c>
    </row>
    <row r="22" spans="1:3" x14ac:dyDescent="0.25">
      <c r="A22" s="9">
        <f t="shared" si="0"/>
        <v>2.9166666666666668E-3</v>
      </c>
      <c r="B22" s="9">
        <v>3.5000000000000003E-2</v>
      </c>
      <c r="C22" s="8">
        <f t="shared" si="1"/>
        <v>545.752349107692</v>
      </c>
    </row>
    <row r="23" spans="1:3" x14ac:dyDescent="0.25">
      <c r="A23" s="9">
        <f t="shared" si="0"/>
        <v>3.3333333333333335E-3</v>
      </c>
      <c r="B23" s="9">
        <v>0.04</v>
      </c>
      <c r="C23" s="8">
        <f t="shared" si="1"/>
        <v>552.49566165799058</v>
      </c>
    </row>
    <row r="24" spans="1:3" x14ac:dyDescent="0.25">
      <c r="A24" s="9">
        <f t="shared" si="0"/>
        <v>3.7499999999999999E-3</v>
      </c>
      <c r="B24" s="9">
        <v>4.4999999999999998E-2</v>
      </c>
      <c r="C24" s="8">
        <f t="shared" si="1"/>
        <v>559.29057724549943</v>
      </c>
    </row>
    <row r="25" spans="1:3" x14ac:dyDescent="0.25">
      <c r="A25" s="9">
        <f t="shared" si="0"/>
        <v>4.1666666666666666E-3</v>
      </c>
      <c r="B25" s="9">
        <v>0.05</v>
      </c>
      <c r="C25" s="8">
        <f t="shared" si="1"/>
        <v>566.13700932032805</v>
      </c>
    </row>
    <row r="26" spans="1:3" x14ac:dyDescent="0.25">
      <c r="A26" s="9">
        <f t="shared" si="0"/>
        <v>4.5833333333333334E-3</v>
      </c>
      <c r="B26" s="9">
        <v>5.5E-2</v>
      </c>
      <c r="C26" s="8">
        <f t="shared" si="1"/>
        <v>573.03486515346731</v>
      </c>
    </row>
    <row r="27" spans="1:3" x14ac:dyDescent="0.25">
      <c r="A27" s="9">
        <f t="shared" si="0"/>
        <v>5.0000000000000001E-3</v>
      </c>
      <c r="B27" s="9">
        <v>0.06</v>
      </c>
      <c r="C27" s="8">
        <f t="shared" si="1"/>
        <v>579.98404588283745</v>
      </c>
    </row>
    <row r="28" spans="1:3" x14ac:dyDescent="0.25">
      <c r="A28" s="9">
        <f t="shared" si="0"/>
        <v>5.4166666666666669E-3</v>
      </c>
      <c r="B28" s="9">
        <v>6.5000000000000002E-2</v>
      </c>
      <c r="C28" s="8">
        <f t="shared" si="1"/>
        <v>586.9844465618562</v>
      </c>
    </row>
    <row r="29" spans="1:3" x14ac:dyDescent="0.25">
      <c r="A29" s="9">
        <f t="shared" si="0"/>
        <v>5.8333333333333336E-3</v>
      </c>
      <c r="B29" s="9">
        <v>7.0000000000000007E-2</v>
      </c>
      <c r="C29" s="8">
        <f t="shared" si="1"/>
        <v>594.03595621048612</v>
      </c>
    </row>
  </sheetData>
  <hyperlinks>
    <hyperlink ref="B4" r:id="rId1" xr:uid="{21E803C9-B1BC-4656-B7B8-96A1452C027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B987B-D5F4-4693-9AAD-CD014C69FA5B}">
  <dimension ref="A1:C22"/>
  <sheetViews>
    <sheetView tabSelected="1" workbookViewId="0">
      <selection activeCell="E13" sqref="E13"/>
    </sheetView>
  </sheetViews>
  <sheetFormatPr defaultRowHeight="15" x14ac:dyDescent="0.25"/>
  <cols>
    <col min="1" max="1" width="18.7109375" customWidth="1"/>
    <col min="2" max="2" width="23.42578125" customWidth="1"/>
    <col min="3" max="3" width="17.28515625" bestFit="1" customWidth="1"/>
  </cols>
  <sheetData>
    <row r="1" spans="1:3" x14ac:dyDescent="0.25">
      <c r="A1" s="2" t="s">
        <v>0</v>
      </c>
      <c r="B1" s="5" t="s">
        <v>4</v>
      </c>
    </row>
    <row r="2" spans="1:3" x14ac:dyDescent="0.25">
      <c r="A2" s="3" t="s">
        <v>1</v>
      </c>
      <c r="B2" s="6" t="s">
        <v>5</v>
      </c>
    </row>
    <row r="3" spans="1:3" x14ac:dyDescent="0.25">
      <c r="A3" s="3" t="s">
        <v>2</v>
      </c>
      <c r="B3" s="6">
        <v>190548490</v>
      </c>
    </row>
    <row r="4" spans="1:3" x14ac:dyDescent="0.25">
      <c r="A4" s="4" t="s">
        <v>3</v>
      </c>
      <c r="B4" s="7" t="s">
        <v>6</v>
      </c>
    </row>
    <row r="6" spans="1:3" x14ac:dyDescent="0.25">
      <c r="A6" s="1" t="s">
        <v>18</v>
      </c>
    </row>
    <row r="7" spans="1:3" x14ac:dyDescent="0.25">
      <c r="A7" s="2" t="s">
        <v>8</v>
      </c>
      <c r="B7" s="10">
        <v>30000</v>
      </c>
    </row>
    <row r="8" spans="1:3" x14ac:dyDescent="0.25">
      <c r="A8" s="3" t="s">
        <v>19</v>
      </c>
      <c r="B8" s="6">
        <v>5</v>
      </c>
    </row>
    <row r="9" spans="1:3" x14ac:dyDescent="0.25">
      <c r="A9" s="4" t="s">
        <v>20</v>
      </c>
      <c r="B9" s="7">
        <v>60</v>
      </c>
    </row>
    <row r="11" spans="1:3" x14ac:dyDescent="0.25">
      <c r="A11" s="1" t="s">
        <v>15</v>
      </c>
      <c r="B11" s="1" t="s">
        <v>16</v>
      </c>
      <c r="C11" s="1" t="s">
        <v>17</v>
      </c>
    </row>
    <row r="12" spans="1:3" x14ac:dyDescent="0.25">
      <c r="A12" s="15">
        <f>B12/12</f>
        <v>1.6666666666666668E-3</v>
      </c>
      <c r="B12" s="15">
        <v>0.02</v>
      </c>
      <c r="C12" s="16">
        <f>ABS(PMT(A12,$B$9,$B$7))</f>
        <v>525.83280159733135</v>
      </c>
    </row>
    <row r="13" spans="1:3" x14ac:dyDescent="0.25">
      <c r="A13" s="15">
        <f>B13/12</f>
        <v>2.0833333333333333E-3</v>
      </c>
      <c r="B13" s="15">
        <v>2.5000000000000001E-2</v>
      </c>
      <c r="C13" s="16">
        <f>ABS(PMT(A13,$B$9,$B$7))</f>
        <v>532.4208481644082</v>
      </c>
    </row>
    <row r="14" spans="1:3" x14ac:dyDescent="0.25">
      <c r="A14" s="15">
        <f t="shared" ref="A14:A22" si="0">B14/12</f>
        <v>2.5000000000000001E-3</v>
      </c>
      <c r="B14" s="15">
        <v>0.03</v>
      </c>
      <c r="C14" s="16">
        <f t="shared" ref="C14:C22" si="1">ABS(PMT(A14,$B$9,$B$7))</f>
        <v>539.06071992189413</v>
      </c>
    </row>
    <row r="15" spans="1:3" x14ac:dyDescent="0.25">
      <c r="A15" s="15">
        <f t="shared" si="0"/>
        <v>2.9166666666666668E-3</v>
      </c>
      <c r="B15" s="15">
        <v>3.5000000000000003E-2</v>
      </c>
      <c r="C15" s="16">
        <f t="shared" si="1"/>
        <v>545.752349107692</v>
      </c>
    </row>
    <row r="16" spans="1:3" x14ac:dyDescent="0.25">
      <c r="A16" s="15">
        <f t="shared" si="0"/>
        <v>3.3333333333333335E-3</v>
      </c>
      <c r="B16" s="15">
        <v>0.04</v>
      </c>
      <c r="C16" s="16">
        <f t="shared" si="1"/>
        <v>552.49566165799058</v>
      </c>
    </row>
    <row r="17" spans="1:3" x14ac:dyDescent="0.25">
      <c r="A17" s="15">
        <f t="shared" si="0"/>
        <v>3.7499999999999999E-3</v>
      </c>
      <c r="B17" s="15">
        <v>4.4999999999999998E-2</v>
      </c>
      <c r="C17" s="16">
        <f t="shared" si="1"/>
        <v>559.29057724549943</v>
      </c>
    </row>
    <row r="18" spans="1:3" x14ac:dyDescent="0.25">
      <c r="A18" s="15">
        <f t="shared" si="0"/>
        <v>4.1666666666666666E-3</v>
      </c>
      <c r="B18" s="15">
        <v>0.05</v>
      </c>
      <c r="C18" s="16">
        <f t="shared" si="1"/>
        <v>566.13700932032805</v>
      </c>
    </row>
    <row r="19" spans="1:3" x14ac:dyDescent="0.25">
      <c r="A19" s="15">
        <f t="shared" si="0"/>
        <v>4.5833333333333334E-3</v>
      </c>
      <c r="B19" s="15">
        <v>5.5E-2</v>
      </c>
      <c r="C19" s="16">
        <f t="shared" si="1"/>
        <v>573.03486515346731</v>
      </c>
    </row>
    <row r="20" spans="1:3" x14ac:dyDescent="0.25">
      <c r="A20" s="15">
        <f t="shared" si="0"/>
        <v>5.0000000000000001E-3</v>
      </c>
      <c r="B20" s="15">
        <v>0.06</v>
      </c>
      <c r="C20" s="16">
        <f t="shared" si="1"/>
        <v>579.98404588283745</v>
      </c>
    </row>
    <row r="21" spans="1:3" x14ac:dyDescent="0.25">
      <c r="A21" s="15">
        <f t="shared" si="0"/>
        <v>5.4166666666666669E-3</v>
      </c>
      <c r="B21" s="15">
        <v>6.5000000000000002E-2</v>
      </c>
      <c r="C21" s="16">
        <f t="shared" si="1"/>
        <v>586.9844465618562</v>
      </c>
    </row>
    <row r="22" spans="1:3" x14ac:dyDescent="0.25">
      <c r="A22" s="15">
        <f t="shared" si="0"/>
        <v>5.8333333333333336E-3</v>
      </c>
      <c r="B22" s="15">
        <v>7.0000000000000007E-2</v>
      </c>
      <c r="C22" s="16">
        <f t="shared" si="1"/>
        <v>594.03595621048612</v>
      </c>
    </row>
  </sheetData>
  <hyperlinks>
    <hyperlink ref="B4" r:id="rId1" xr:uid="{BAA71DD1-40E1-4F4B-99EA-77853C1329F9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acro1">
                <anchor moveWithCells="1">
                  <from>
                    <xdr:col>3</xdr:col>
                    <xdr:colOff>238125</xdr:colOff>
                    <xdr:row>4</xdr:row>
                    <xdr:rowOff>95250</xdr:rowOff>
                  </from>
                  <to>
                    <xdr:col>6</xdr:col>
                    <xdr:colOff>276225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PMT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 Pham</dc:creator>
  <cp:lastModifiedBy>An Pham</cp:lastModifiedBy>
  <dcterms:created xsi:type="dcterms:W3CDTF">2024-05-22T14:36:37Z</dcterms:created>
  <dcterms:modified xsi:type="dcterms:W3CDTF">2024-05-23T19:29:38Z</dcterms:modified>
</cp:coreProperties>
</file>